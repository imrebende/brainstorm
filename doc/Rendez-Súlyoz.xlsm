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r\OneDrive\Aktual\VOC\ÁBRÁK, TÁBLÁZATOK\"/>
    </mc:Choice>
  </mc:AlternateContent>
  <bookViews>
    <workbookView showHorizontalScroll="0" showVerticalScroll="0" xWindow="384" yWindow="192" windowWidth="14664" windowHeight="8148" activeTab="2"/>
  </bookViews>
  <sheets>
    <sheet name="Rendezés" sheetId="1" r:id="rId1"/>
    <sheet name="Súlyozás 1" sheetId="2" r:id="rId2"/>
    <sheet name="Súlyozás 2" sheetId="3" r:id="rId3"/>
  </sheets>
  <calcPr calcId="152511"/>
</workbook>
</file>

<file path=xl/calcChain.xml><?xml version="1.0" encoding="utf-8"?>
<calcChain xmlns="http://schemas.openxmlformats.org/spreadsheetml/2006/main">
  <c r="N9" i="3" l="1"/>
  <c r="E15" i="3" l="1"/>
  <c r="F15" i="3" s="1"/>
  <c r="G15" i="3" s="1"/>
  <c r="H15" i="3" s="1"/>
  <c r="I15" i="3" s="1"/>
  <c r="J15" i="3" s="1"/>
  <c r="K15" i="3" s="1"/>
  <c r="L15" i="3" s="1"/>
  <c r="M15" i="3" s="1"/>
  <c r="N15" i="3" l="1"/>
  <c r="E15" i="2"/>
  <c r="F15" i="2" s="1"/>
  <c r="G15" i="2" s="1"/>
  <c r="H15" i="2" s="1"/>
  <c r="I15" i="2" s="1"/>
  <c r="J15" i="2" s="1"/>
  <c r="K15" i="2" s="1"/>
  <c r="L15" i="2" s="1"/>
  <c r="M15" i="2" s="1"/>
  <c r="N16" i="2" l="1"/>
  <c r="M14" i="2" l="1"/>
  <c r="D14" i="2"/>
  <c r="F14" i="2"/>
  <c r="H14" i="2"/>
  <c r="J14" i="2"/>
  <c r="L14" i="2"/>
  <c r="E14" i="2"/>
  <c r="G14" i="2"/>
  <c r="I14" i="2"/>
  <c r="K14" i="2"/>
  <c r="N14" i="2" l="1"/>
  <c r="N15" i="2"/>
</calcChain>
</file>

<file path=xl/sharedStrings.xml><?xml version="1.0" encoding="utf-8"?>
<sst xmlns="http://schemas.openxmlformats.org/spreadsheetml/2006/main" count="26" uniqueCount="26">
  <si>
    <t>Első</t>
  </si>
  <si>
    <t>Második szempont</t>
  </si>
  <si>
    <t>Harmadik</t>
  </si>
  <si>
    <t>NEGYEDIK</t>
  </si>
  <si>
    <t>Öt</t>
  </si>
  <si>
    <t>Hatodik szempont</t>
  </si>
  <si>
    <t>Nyolcadik</t>
  </si>
  <si>
    <t>Kilenc</t>
  </si>
  <si>
    <t>Utolsó</t>
  </si>
  <si>
    <t>új szempont</t>
  </si>
  <si>
    <t>RENDEZÉS fontosság szerint</t>
  </si>
  <si>
    <t>induló értékek</t>
  </si>
  <si>
    <t>Módosítás</t>
  </si>
  <si>
    <t>Hetedik</t>
  </si>
  <si>
    <t xml:space="preserve">1. szempont        </t>
  </si>
  <si>
    <t xml:space="preserve">2. szempont        </t>
  </si>
  <si>
    <t xml:space="preserve">3. szempont        </t>
  </si>
  <si>
    <t xml:space="preserve">4. szempont        </t>
  </si>
  <si>
    <t xml:space="preserve">5. szempont        </t>
  </si>
  <si>
    <t xml:space="preserve">6. szempont        </t>
  </si>
  <si>
    <t xml:space="preserve">7. szempont        </t>
  </si>
  <si>
    <t xml:space="preserve">8. szempont        </t>
  </si>
  <si>
    <t xml:space="preserve">9. szempont        </t>
  </si>
  <si>
    <t xml:space="preserve">10. szempont        </t>
  </si>
  <si>
    <t>Induló értékek</t>
  </si>
  <si>
    <t>Súly: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</si>
</sst>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"/>
    <numFmt numFmtId="166" formatCode="0.00000"/>
  </numFmts>
  <fonts count="11" x14ac:knownFonts="1">
    <font>
      <sz val="12"/>
      <color theme="1"/>
      <name val="Times New Roman"/>
      <family val="2"/>
      <charset val="238"/>
    </font>
    <font>
      <b/>
      <i/>
      <sz val="12"/>
      <color theme="1"/>
      <name val="Times New Roman"/>
      <family val="1"/>
      <charset val="238"/>
    </font>
    <font>
      <b/>
      <sz val="12"/>
      <color theme="1"/>
      <name val="Times New Roman"/>
      <family val="1"/>
      <charset val="238"/>
    </font>
    <font>
      <sz val="8"/>
      <color theme="1"/>
      <name val="Times New Roman"/>
      <family val="2"/>
      <charset val="238"/>
    </font>
    <font>
      <sz val="12"/>
      <color rgb="FFFF0000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b/>
      <i/>
      <sz val="12"/>
      <color rgb="FF0000FF"/>
      <name val="Times New Roman"/>
      <family val="1"/>
      <charset val="238"/>
    </font>
    <font>
      <b/>
      <sz val="16"/>
      <color rgb="FFFF0000"/>
      <name val="Times New Roman"/>
      <family val="2"/>
      <charset val="238"/>
    </font>
    <font>
      <b/>
      <sz val="8"/>
      <color rgb="FFFF0000"/>
      <name val="Times New Roman"/>
      <family val="1"/>
      <charset val="238"/>
    </font>
    <font>
      <sz val="14"/>
      <color rgb="FFFF0000"/>
      <name val="Times New Roman"/>
      <family val="2"/>
      <charset val="238"/>
    </font>
    <font>
      <b/>
      <sz val="14"/>
      <color rgb="FFFF0000"/>
      <name val="Times New Roman"/>
      <family val="1"/>
      <charset val="23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0" fontId="1" fillId="0" borderId="0" xfId="0" applyFont="1"/>
    <xf numFmtId="0" fontId="0" fillId="0" borderId="1" xfId="0" applyBorder="1"/>
    <xf numFmtId="0" fontId="2" fillId="0" borderId="0" xfId="0" applyFont="1"/>
    <xf numFmtId="0" fontId="0" fillId="0" borderId="0" xfId="0" applyAlignment="1">
      <alignment textRotation="90"/>
    </xf>
    <xf numFmtId="0" fontId="3" fillId="0" borderId="0" xfId="0" applyFont="1"/>
    <xf numFmtId="1" fontId="3" fillId="0" borderId="0" xfId="0" applyNumberFormat="1" applyFont="1" applyBorder="1"/>
    <xf numFmtId="0" fontId="3" fillId="0" borderId="0" xfId="0" applyFont="1" applyBorder="1"/>
    <xf numFmtId="2" fontId="3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2" fillId="0" borderId="0" xfId="0" applyNumberFormat="1" applyFont="1" applyAlignment="1">
      <alignment horizontal="center" vertical="top" textRotation="90"/>
    </xf>
    <xf numFmtId="9" fontId="5" fillId="0" borderId="0" xfId="0" applyNumberFormat="1" applyFont="1" applyAlignment="1">
      <alignment horizontal="center" vertical="top" textRotation="90"/>
    </xf>
    <xf numFmtId="0" fontId="4" fillId="0" borderId="0" xfId="0" applyFont="1" applyAlignment="1">
      <alignment textRotation="90"/>
    </xf>
    <xf numFmtId="0" fontId="6" fillId="3" borderId="2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textRotation="90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165" fontId="3" fillId="0" borderId="0" xfId="0" applyNumberFormat="1" applyFont="1" applyBorder="1" applyAlignment="1">
      <alignment horizontal="center"/>
    </xf>
    <xf numFmtId="165" fontId="0" fillId="0" borderId="0" xfId="0" applyNumberFormat="1" applyBorder="1"/>
    <xf numFmtId="0" fontId="0" fillId="0" borderId="0" xfId="0" applyBorder="1" applyAlignment="1">
      <alignment textRotation="90"/>
    </xf>
    <xf numFmtId="166" fontId="0" fillId="0" borderId="0" xfId="0" applyNumberFormat="1"/>
    <xf numFmtId="165" fontId="2" fillId="0" borderId="1" xfId="0" applyNumberFormat="1" applyFont="1" applyBorder="1" applyAlignment="1">
      <alignment vertical="center"/>
    </xf>
    <xf numFmtId="0" fontId="0" fillId="2" borderId="0" xfId="0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FF99CC"/>
      <color rgb="FF0000CC"/>
      <color rgb="FF0000FF"/>
      <color rgb="FFFF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02530648399246E-2"/>
          <c:y val="2.0060879963969002E-2"/>
          <c:w val="0.9216974693516008"/>
          <c:h val="0.95577884286203352"/>
        </c:manualLayout>
      </c:layout>
      <c:barChart>
        <c:barDir val="col"/>
        <c:grouping val="stacked"/>
        <c:varyColors val="0"/>
        <c:ser>
          <c:idx val="0"/>
          <c:order val="0"/>
          <c:tx>
            <c:v>kjgjkgjgh</c:v>
          </c:tx>
          <c:spPr>
            <a:gradFill flip="none" rotWithShape="1">
              <a:gsLst>
                <a:gs pos="0">
                  <a:srgbClr val="0000CC"/>
                </a:gs>
                <a:gs pos="50000">
                  <a:schemeClr val="tx2">
                    <a:lumMod val="20000"/>
                    <a:lumOff val="80000"/>
                  </a:schemeClr>
                </a:gs>
                <a:gs pos="100000">
                  <a:srgbClr val="0000CC"/>
                </a:gs>
              </a:gsLst>
              <a:lin ang="0" scaled="1"/>
              <a:tileRect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'Súlyozás 2'!$A$21:$J$21</c:f>
              <c:numCache>
                <c:formatCode>General</c:formatCode>
                <c:ptCount val="10"/>
              </c:numCache>
            </c:numRef>
          </c:cat>
          <c:val>
            <c:numRef>
              <c:f>'Súlyozás 2'!$D$9:$M$9</c:f>
              <c:numCache>
                <c:formatCode>0.0</c:formatCode>
                <c:ptCount val="10"/>
                <c:pt idx="0">
                  <c:v>30.87031266</c:v>
                </c:pt>
                <c:pt idx="1">
                  <c:v>21.609218862000002</c:v>
                </c:pt>
                <c:pt idx="2">
                  <c:v>15.126453203399999</c:v>
                </c:pt>
                <c:pt idx="3">
                  <c:v>10.588517242379996</c:v>
                </c:pt>
                <c:pt idx="4">
                  <c:v>7.4119620696659982</c:v>
                </c:pt>
                <c:pt idx="5">
                  <c:v>5.1883734487661988</c:v>
                </c:pt>
                <c:pt idx="6">
                  <c:v>3.6318614141363388</c:v>
                </c:pt>
                <c:pt idx="7">
                  <c:v>2.542302989895437</c:v>
                </c:pt>
                <c:pt idx="8">
                  <c:v>1.779612092926806</c:v>
                </c:pt>
                <c:pt idx="9">
                  <c:v>1.2358284650487641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"/>
        <c:overlap val="100"/>
        <c:axId val="-2079448928"/>
        <c:axId val="-2079456544"/>
      </c:barChart>
      <c:catAx>
        <c:axId val="-20794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456544"/>
        <c:crosses val="autoZero"/>
        <c:auto val="1"/>
        <c:lblAlgn val="ctr"/>
        <c:lblOffset val="100"/>
        <c:noMultiLvlLbl val="0"/>
      </c:catAx>
      <c:valAx>
        <c:axId val="-2079456544"/>
        <c:scaling>
          <c:orientation val="minMax"/>
        </c:scaling>
        <c:delete val="0"/>
        <c:axPos val="l"/>
        <c:majorGridlines>
          <c:spPr>
            <a:ln w="0">
              <a:solidFill>
                <a:srgbClr val="FF0000"/>
              </a:solidFill>
            </a:ln>
          </c:spPr>
        </c:majorGridlines>
        <c:minorGridlines>
          <c:spPr>
            <a:ln>
              <a:solidFill>
                <a:srgbClr val="FF99CC"/>
              </a:solidFill>
            </a:ln>
          </c:spPr>
        </c:minorGridlines>
        <c:numFmt formatCode="0" sourceLinked="0"/>
        <c:majorTickMark val="out"/>
        <c:minorTickMark val="none"/>
        <c:tickLblPos val="nextTo"/>
        <c:spPr>
          <a:ln w="19050">
            <a:solidFill>
              <a:srgbClr val="FF0000"/>
            </a:solidFill>
            <a:tailEnd type="stealth"/>
          </a:ln>
        </c:spPr>
        <c:txPr>
          <a:bodyPr/>
          <a:lstStyle/>
          <a:p>
            <a:pPr>
              <a:defRPr sz="1000" b="1" baseline="0">
                <a:solidFill>
                  <a:srgbClr val="FF0000"/>
                </a:solidFill>
              </a:defRPr>
            </a:pPr>
            <a:endParaRPr lang="hu-HU"/>
          </a:p>
        </c:txPr>
        <c:crossAx val="-207944892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312420</xdr:colOff>
      <xdr:row>13</xdr:row>
      <xdr:rowOff>60960</xdr:rowOff>
    </xdr:from>
    <xdr:to>
      <xdr:col>5</xdr:col>
      <xdr:colOff>312420</xdr:colOff>
      <xdr:row>14</xdr:row>
      <xdr:rowOff>150840</xdr:rowOff>
    </xdr:to>
    <xdr:cxnSp macro="[0]!lejebb">
      <xdr:nvCxnSpPr>
        <xdr:cNvPr id="4" name="Egyenes összekötő nyíllal 3"/>
        <xdr:cNvCxnSpPr/>
      </xdr:nvCxnSpPr>
      <xdr:spPr>
        <a:xfrm>
          <a:off x="1150620" y="2636520"/>
          <a:ext cx="0" cy="288000"/>
        </a:xfrm>
        <a:prstGeom prst="straightConnector1">
          <a:avLst/>
        </a:prstGeom>
        <a:ln w="57150" cmpd="sng">
          <a:solidFill>
            <a:srgbClr val="FF0000"/>
          </a:solidFill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99060</xdr:colOff>
      <xdr:row>13</xdr:row>
      <xdr:rowOff>45720</xdr:rowOff>
    </xdr:from>
    <xdr:to>
      <xdr:col>5</xdr:col>
      <xdr:colOff>99060</xdr:colOff>
      <xdr:row>14</xdr:row>
      <xdr:rowOff>135600</xdr:rowOff>
    </xdr:to>
    <xdr:cxnSp macro="[0]!feljebb">
      <xdr:nvCxnSpPr>
        <xdr:cNvPr id="8" name="Egyenes összekötő nyíllal 7"/>
        <xdr:cNvCxnSpPr/>
      </xdr:nvCxnSpPr>
      <xdr:spPr>
        <a:xfrm rot="10800000">
          <a:off x="937260" y="2621280"/>
          <a:ext cx="0" cy="288000"/>
        </a:xfrm>
        <a:prstGeom prst="straightConnector1">
          <a:avLst/>
        </a:prstGeom>
        <a:ln w="57150" cmpd="sng">
          <a:solidFill>
            <a:srgbClr val="92D050"/>
          </a:solidFill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</xdr:colOff>
      <xdr:row>2</xdr:row>
      <xdr:rowOff>15240</xdr:rowOff>
    </xdr:from>
    <xdr:to>
      <xdr:col>6</xdr:col>
      <xdr:colOff>114300</xdr:colOff>
      <xdr:row>2</xdr:row>
      <xdr:rowOff>99060</xdr:rowOff>
    </xdr:to>
    <xdr:sp macro="" textlink="">
      <xdr:nvSpPr>
        <xdr:cNvPr id="9" name="Háromszög 8"/>
        <xdr:cNvSpPr/>
      </xdr:nvSpPr>
      <xdr:spPr>
        <a:xfrm>
          <a:off x="2819400" y="411480"/>
          <a:ext cx="76200" cy="83820"/>
        </a:xfrm>
        <a:prstGeom prst="triangl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6</xdr:col>
      <xdr:colOff>34290</xdr:colOff>
      <xdr:row>11</xdr:row>
      <xdr:rowOff>83820</xdr:rowOff>
    </xdr:from>
    <xdr:to>
      <xdr:col>6</xdr:col>
      <xdr:colOff>110490</xdr:colOff>
      <xdr:row>11</xdr:row>
      <xdr:rowOff>167640</xdr:rowOff>
    </xdr:to>
    <xdr:sp macro="" textlink="">
      <xdr:nvSpPr>
        <xdr:cNvPr id="10" name="Háromszög 9"/>
        <xdr:cNvSpPr/>
      </xdr:nvSpPr>
      <xdr:spPr>
        <a:xfrm rot="10800000">
          <a:off x="2815590" y="2263140"/>
          <a:ext cx="76200" cy="83820"/>
        </a:xfrm>
        <a:prstGeom prst="triangl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354330</xdr:colOff>
      <xdr:row>2</xdr:row>
      <xdr:rowOff>299451</xdr:rowOff>
    </xdr:from>
    <xdr:to>
      <xdr:col>3</xdr:col>
      <xdr:colOff>356190</xdr:colOff>
      <xdr:row>13</xdr:row>
      <xdr:rowOff>2271</xdr:rowOff>
    </xdr:to>
    <xdr:sp macro="" textlink="">
      <xdr:nvSpPr>
        <xdr:cNvPr id="2" name="Téglalap 1"/>
        <xdr:cNvSpPr/>
      </xdr:nvSpPr>
      <xdr:spPr>
        <a:xfrm>
          <a:off x="1695450" y="916671"/>
          <a:ext cx="360000" cy="3139440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endParaRPr lang="hu-HU" sz="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369570</xdr:colOff>
      <xdr:row>5</xdr:row>
      <xdr:rowOff>301703</xdr:rowOff>
    </xdr:from>
    <xdr:to>
      <xdr:col>4</xdr:col>
      <xdr:colOff>356190</xdr:colOff>
      <xdr:row>12</xdr:row>
      <xdr:rowOff>312371</xdr:rowOff>
    </xdr:to>
    <xdr:sp macro="" textlink="">
      <xdr:nvSpPr>
        <xdr:cNvPr id="5" name="Téglalap 2"/>
        <xdr:cNvSpPr/>
      </xdr:nvSpPr>
      <xdr:spPr>
        <a:xfrm>
          <a:off x="2068830" y="1856183"/>
          <a:ext cx="360000" cy="2197608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endParaRPr lang="hu-HU" sz="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8</xdr:row>
      <xdr:rowOff>19003</xdr:rowOff>
    </xdr:from>
    <xdr:to>
      <xdr:col>5</xdr:col>
      <xdr:colOff>360000</xdr:colOff>
      <xdr:row>12</xdr:row>
      <xdr:rowOff>307649</xdr:rowOff>
    </xdr:to>
    <xdr:sp macro="" textlink="">
      <xdr:nvSpPr>
        <xdr:cNvPr id="6" name="Téglalap 3"/>
        <xdr:cNvSpPr/>
      </xdr:nvSpPr>
      <xdr:spPr>
        <a:xfrm>
          <a:off x="2446020" y="2510743"/>
          <a:ext cx="360000" cy="1538326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endParaRPr lang="hu-HU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3810</xdr:colOff>
      <xdr:row>9</xdr:row>
      <xdr:rowOff>170741</xdr:rowOff>
    </xdr:from>
    <xdr:to>
      <xdr:col>6</xdr:col>
      <xdr:colOff>363810</xdr:colOff>
      <xdr:row>12</xdr:row>
      <xdr:rowOff>310309</xdr:rowOff>
    </xdr:to>
    <xdr:sp macro="" textlink="">
      <xdr:nvSpPr>
        <xdr:cNvPr id="7" name="Téglalap 4"/>
        <xdr:cNvSpPr/>
      </xdr:nvSpPr>
      <xdr:spPr>
        <a:xfrm>
          <a:off x="2823210" y="2974901"/>
          <a:ext cx="360000" cy="1076828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endParaRPr lang="hu-HU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15240</xdr:colOff>
      <xdr:row>10</xdr:row>
      <xdr:rowOff>175345</xdr:rowOff>
    </xdr:from>
    <xdr:to>
      <xdr:col>8</xdr:col>
      <xdr:colOff>1860</xdr:colOff>
      <xdr:row>12</xdr:row>
      <xdr:rowOff>304285</xdr:rowOff>
    </xdr:to>
    <xdr:sp macro="" textlink="">
      <xdr:nvSpPr>
        <xdr:cNvPr id="14" name="Téglalap 5"/>
        <xdr:cNvSpPr/>
      </xdr:nvSpPr>
      <xdr:spPr>
        <a:xfrm>
          <a:off x="3208020" y="3291925"/>
          <a:ext cx="360000" cy="753780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endParaRPr lang="hu-HU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8</xdr:col>
      <xdr:colOff>19050</xdr:colOff>
      <xdr:row>11</xdr:row>
      <xdr:rowOff>88132</xdr:rowOff>
    </xdr:from>
    <xdr:to>
      <xdr:col>9</xdr:col>
      <xdr:colOff>5670</xdr:colOff>
      <xdr:row>12</xdr:row>
      <xdr:rowOff>303358</xdr:rowOff>
    </xdr:to>
    <xdr:sp macro="" textlink="">
      <xdr:nvSpPr>
        <xdr:cNvPr id="15" name="Téglalap 6"/>
        <xdr:cNvSpPr/>
      </xdr:nvSpPr>
      <xdr:spPr>
        <a:xfrm>
          <a:off x="3585210" y="3517132"/>
          <a:ext cx="360000" cy="527646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hu-HU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11430</xdr:colOff>
      <xdr:row>11</xdr:row>
      <xdr:rowOff>247803</xdr:rowOff>
    </xdr:from>
    <xdr:to>
      <xdr:col>9</xdr:col>
      <xdr:colOff>371430</xdr:colOff>
      <xdr:row>12</xdr:row>
      <xdr:rowOff>304735</xdr:rowOff>
    </xdr:to>
    <xdr:sp macro="" textlink="">
      <xdr:nvSpPr>
        <xdr:cNvPr id="16" name="Téglalap 7"/>
        <xdr:cNvSpPr/>
      </xdr:nvSpPr>
      <xdr:spPr>
        <a:xfrm>
          <a:off x="3950970" y="3676803"/>
          <a:ext cx="360000" cy="369352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hu-HU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10</xdr:col>
      <xdr:colOff>3810</xdr:colOff>
      <xdr:row>12</xdr:row>
      <xdr:rowOff>48482</xdr:rowOff>
    </xdr:from>
    <xdr:to>
      <xdr:col>10</xdr:col>
      <xdr:colOff>363810</xdr:colOff>
      <xdr:row>12</xdr:row>
      <xdr:rowOff>307028</xdr:rowOff>
    </xdr:to>
    <xdr:sp macro="" textlink="">
      <xdr:nvSpPr>
        <xdr:cNvPr id="17" name="Téglalap 8"/>
        <xdr:cNvSpPr/>
      </xdr:nvSpPr>
      <xdr:spPr>
        <a:xfrm>
          <a:off x="4316730" y="3789902"/>
          <a:ext cx="360000" cy="258546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hu-HU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11</xdr:col>
      <xdr:colOff>11430</xdr:colOff>
      <xdr:row>12</xdr:row>
      <xdr:rowOff>126939</xdr:rowOff>
    </xdr:from>
    <xdr:to>
      <xdr:col>11</xdr:col>
      <xdr:colOff>371430</xdr:colOff>
      <xdr:row>12</xdr:row>
      <xdr:rowOff>307921</xdr:rowOff>
    </xdr:to>
    <xdr:sp macro="" textlink="">
      <xdr:nvSpPr>
        <xdr:cNvPr id="18" name="Téglalap 9"/>
        <xdr:cNvSpPr/>
      </xdr:nvSpPr>
      <xdr:spPr>
        <a:xfrm>
          <a:off x="4697730" y="3868359"/>
          <a:ext cx="360000" cy="180982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hu-HU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15240</xdr:colOff>
      <xdr:row>12</xdr:row>
      <xdr:rowOff>181858</xdr:rowOff>
    </xdr:from>
    <xdr:to>
      <xdr:col>13</xdr:col>
      <xdr:colOff>1860</xdr:colOff>
      <xdr:row>12</xdr:row>
      <xdr:rowOff>308546</xdr:rowOff>
    </xdr:to>
    <xdr:sp macro="" textlink="">
      <xdr:nvSpPr>
        <xdr:cNvPr id="19" name="Téglalap 10"/>
        <xdr:cNvSpPr/>
      </xdr:nvSpPr>
      <xdr:spPr>
        <a:xfrm>
          <a:off x="5074920" y="3923278"/>
          <a:ext cx="360000" cy="126688"/>
        </a:xfrm>
        <a:prstGeom prst="rect">
          <a:avLst/>
        </a:prstGeom>
        <a:gradFill>
          <a:gsLst>
            <a:gs pos="0">
              <a:srgbClr val="0070C0"/>
            </a:gs>
            <a:gs pos="50000">
              <a:schemeClr val="accent1">
                <a:lumMod val="20000"/>
                <a:lumOff val="80000"/>
              </a:schemeClr>
            </a:gs>
            <a:gs pos="100000">
              <a:srgbClr val="0070C0"/>
            </a:gs>
          </a:gsLst>
          <a:lin ang="0" scaled="0"/>
        </a:gradFill>
        <a:ln w="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hu-HU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320040</xdr:rowOff>
    </xdr:from>
    <xdr:to>
      <xdr:col>14</xdr:col>
      <xdr:colOff>22860</xdr:colOff>
      <xdr:row>13</xdr:row>
      <xdr:rowOff>1234440</xdr:rowOff>
    </xdr:to>
    <xdr:sp macro="" textlink="">
      <xdr:nvSpPr>
        <xdr:cNvPr id="9" name="Szövegdoboz 8"/>
        <xdr:cNvSpPr txBox="1"/>
      </xdr:nvSpPr>
      <xdr:spPr>
        <a:xfrm rot="-5400000">
          <a:off x="2687955" y="2771775"/>
          <a:ext cx="914400" cy="4118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 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 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szempont</a:t>
          </a: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7- 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9. szempont</a:t>
          </a:r>
          <a:endParaRPr lang="hu-HU" sz="1000" b="1">
            <a:effectLst/>
          </a:endParaRPr>
        </a:p>
        <a:p>
          <a:pPr>
            <a:spcAft>
              <a:spcPts val="1700"/>
            </a:spcAft>
          </a:pPr>
          <a:r>
            <a:rPr lang="hu-HU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10. szempont</a:t>
          </a:r>
        </a:p>
        <a:p>
          <a:pPr>
            <a:spcAft>
              <a:spcPts val="1700"/>
            </a:spcAft>
          </a:pPr>
          <a:r>
            <a:rPr lang="hu-HU" sz="1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"Szülő" csomópont</a:t>
          </a:r>
          <a:endParaRPr lang="hu-HU" sz="1000" b="1">
            <a:solidFill>
              <a:srgbClr val="FF0000"/>
            </a:solidFill>
            <a:effectLst/>
          </a:endParaRPr>
        </a:p>
        <a:p>
          <a:pPr>
            <a:spcAft>
              <a:spcPts val="1600"/>
            </a:spcAft>
          </a:pPr>
          <a:endParaRPr lang="hu-HU" sz="1000" b="1">
            <a:effectLst/>
          </a:endParaRPr>
        </a:p>
      </xdr:txBody>
    </xdr:sp>
    <xdr:clientData/>
  </xdr:twoCellAnchor>
  <xdr:twoCellAnchor>
    <xdr:from>
      <xdr:col>7</xdr:col>
      <xdr:colOff>30480</xdr:colOff>
      <xdr:row>2</xdr:row>
      <xdr:rowOff>0</xdr:rowOff>
    </xdr:from>
    <xdr:to>
      <xdr:col>9</xdr:col>
      <xdr:colOff>289560</xdr:colOff>
      <xdr:row>2</xdr:row>
      <xdr:rowOff>251460</xdr:rowOff>
    </xdr:to>
    <xdr:sp macro="[0]!Modositott" textlink="">
      <xdr:nvSpPr>
        <xdr:cNvPr id="3" name="Lekerekített téglalap 2"/>
        <xdr:cNvSpPr/>
      </xdr:nvSpPr>
      <xdr:spPr>
        <a:xfrm>
          <a:off x="3223260" y="617220"/>
          <a:ext cx="1005840" cy="251460"/>
        </a:xfrm>
        <a:prstGeom prst="roundRect">
          <a:avLst/>
        </a:prstGeom>
        <a:solidFill>
          <a:schemeClr val="bg1">
            <a:lumMod val="85000"/>
          </a:schemeClr>
        </a:solidFill>
        <a:ln w="9525"/>
        <a:scene3d>
          <a:camera prst="orthographicFront"/>
          <a:lightRig rig="threePt" dir="t"/>
        </a:scene3d>
        <a:sp3d>
          <a:bevelT h="88900"/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hu-H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Súlyszámítás</a:t>
          </a:r>
        </a:p>
      </xdr:txBody>
    </xdr:sp>
    <xdr:clientData/>
  </xdr:twoCellAnchor>
  <xdr:twoCellAnchor>
    <xdr:from>
      <xdr:col>2</xdr:col>
      <xdr:colOff>220980</xdr:colOff>
      <xdr:row>0</xdr:row>
      <xdr:rowOff>76200</xdr:rowOff>
    </xdr:from>
    <xdr:to>
      <xdr:col>2</xdr:col>
      <xdr:colOff>220980</xdr:colOff>
      <xdr:row>13</xdr:row>
      <xdr:rowOff>7620</xdr:rowOff>
    </xdr:to>
    <xdr:cxnSp macro="">
      <xdr:nvCxnSpPr>
        <xdr:cNvPr id="11" name="Egyenes összekötő nyíllal 10"/>
        <xdr:cNvCxnSpPr/>
      </xdr:nvCxnSpPr>
      <xdr:spPr>
        <a:xfrm flipV="1">
          <a:off x="891540" y="76200"/>
          <a:ext cx="0" cy="3985260"/>
        </a:xfrm>
        <a:prstGeom prst="straightConnector1">
          <a:avLst/>
        </a:prstGeom>
        <a:ln w="12700"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544830</xdr:colOff>
      <xdr:row>2</xdr:row>
      <xdr:rowOff>281940</xdr:rowOff>
    </xdr:from>
    <xdr:to>
      <xdr:col>12</xdr:col>
      <xdr:colOff>354330</xdr:colOff>
      <xdr:row>3</xdr:row>
      <xdr:rowOff>234080</xdr:rowOff>
    </xdr:to>
    <xdr:grpSp>
      <xdr:nvGrpSpPr>
        <xdr:cNvPr id="26" name="Csoportba foglalás 25"/>
        <xdr:cNvGrpSpPr/>
      </xdr:nvGrpSpPr>
      <xdr:grpSpPr>
        <a:xfrm>
          <a:off x="1215390" y="899160"/>
          <a:ext cx="4198620" cy="264560"/>
          <a:chOff x="556260" y="655320"/>
          <a:chExt cx="4198620" cy="264560"/>
        </a:xfrm>
      </xdr:grpSpPr>
      <xdr:cxnSp macro="">
        <xdr:nvCxnSpPr>
          <xdr:cNvPr id="27" name="Egyenes összekötő 26"/>
          <xdr:cNvCxnSpPr/>
        </xdr:nvCxnSpPr>
        <xdr:spPr>
          <a:xfrm>
            <a:off x="899160" y="777240"/>
            <a:ext cx="3855720" cy="0"/>
          </a:xfrm>
          <a:prstGeom prst="line">
            <a:avLst/>
          </a:prstGeom>
          <a:ln w="952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Szövegdoboz 27"/>
          <xdr:cNvSpPr txBox="1"/>
        </xdr:nvSpPr>
        <xdr:spPr>
          <a:xfrm>
            <a:off x="556260" y="655320"/>
            <a:ext cx="43050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hu-HU" sz="1100" b="1">
                <a:solidFill>
                  <a:srgbClr val="FF0000"/>
                </a:solidFill>
              </a:rPr>
              <a:t>30%</a:t>
            </a:r>
          </a:p>
        </xdr:txBody>
      </xdr:sp>
    </xdr:grpSp>
    <xdr:clientData/>
  </xdr:twoCellAnchor>
  <xdr:twoCellAnchor>
    <xdr:from>
      <xdr:col>1</xdr:col>
      <xdr:colOff>541020</xdr:colOff>
      <xdr:row>0</xdr:row>
      <xdr:rowOff>11430</xdr:rowOff>
    </xdr:from>
    <xdr:to>
      <xdr:col>12</xdr:col>
      <xdr:colOff>350520</xdr:colOff>
      <xdr:row>0</xdr:row>
      <xdr:rowOff>275990</xdr:rowOff>
    </xdr:to>
    <xdr:grpSp>
      <xdr:nvGrpSpPr>
        <xdr:cNvPr id="29" name="Csoportba foglalás 28"/>
        <xdr:cNvGrpSpPr/>
      </xdr:nvGrpSpPr>
      <xdr:grpSpPr>
        <a:xfrm>
          <a:off x="1211580" y="11430"/>
          <a:ext cx="4198620" cy="264560"/>
          <a:chOff x="556260" y="655320"/>
          <a:chExt cx="4198620" cy="264560"/>
        </a:xfrm>
      </xdr:grpSpPr>
      <xdr:cxnSp macro="">
        <xdr:nvCxnSpPr>
          <xdr:cNvPr id="30" name="Egyenes összekötő 29"/>
          <xdr:cNvCxnSpPr/>
        </xdr:nvCxnSpPr>
        <xdr:spPr>
          <a:xfrm>
            <a:off x="899160" y="777240"/>
            <a:ext cx="3855720" cy="0"/>
          </a:xfrm>
          <a:prstGeom prst="line">
            <a:avLst/>
          </a:prstGeom>
          <a:ln w="952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Szövegdoboz 30"/>
          <xdr:cNvSpPr txBox="1"/>
        </xdr:nvSpPr>
        <xdr:spPr>
          <a:xfrm>
            <a:off x="556260" y="655320"/>
            <a:ext cx="43050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hu-HU" sz="1100" b="1">
                <a:solidFill>
                  <a:srgbClr val="FF0000"/>
                </a:solidFill>
              </a:rPr>
              <a:t>40%</a:t>
            </a:r>
          </a:p>
        </xdr:txBody>
      </xdr:sp>
    </xdr:grpSp>
    <xdr:clientData/>
  </xdr:twoCellAnchor>
  <xdr:twoCellAnchor>
    <xdr:from>
      <xdr:col>1</xdr:col>
      <xdr:colOff>537210</xdr:colOff>
      <xdr:row>6</xdr:row>
      <xdr:rowOff>41910</xdr:rowOff>
    </xdr:from>
    <xdr:to>
      <xdr:col>12</xdr:col>
      <xdr:colOff>346710</xdr:colOff>
      <xdr:row>6</xdr:row>
      <xdr:rowOff>306470</xdr:rowOff>
    </xdr:to>
    <xdr:grpSp>
      <xdr:nvGrpSpPr>
        <xdr:cNvPr id="32" name="Csoportba foglalás 31"/>
        <xdr:cNvGrpSpPr/>
      </xdr:nvGrpSpPr>
      <xdr:grpSpPr>
        <a:xfrm>
          <a:off x="1207770" y="1908810"/>
          <a:ext cx="4198620" cy="264560"/>
          <a:chOff x="556260" y="655320"/>
          <a:chExt cx="4198620" cy="264560"/>
        </a:xfrm>
      </xdr:grpSpPr>
      <xdr:cxnSp macro="">
        <xdr:nvCxnSpPr>
          <xdr:cNvPr id="33" name="Egyenes összekötő 32"/>
          <xdr:cNvCxnSpPr/>
        </xdr:nvCxnSpPr>
        <xdr:spPr>
          <a:xfrm>
            <a:off x="899160" y="777240"/>
            <a:ext cx="3855720" cy="0"/>
          </a:xfrm>
          <a:prstGeom prst="line">
            <a:avLst/>
          </a:prstGeom>
          <a:ln w="952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Szövegdoboz 33"/>
          <xdr:cNvSpPr txBox="1"/>
        </xdr:nvSpPr>
        <xdr:spPr>
          <a:xfrm>
            <a:off x="556260" y="655320"/>
            <a:ext cx="43050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hu-HU" sz="1100" b="1">
                <a:solidFill>
                  <a:srgbClr val="FF0000"/>
                </a:solidFill>
              </a:rPr>
              <a:t>20%</a:t>
            </a:r>
          </a:p>
        </xdr:txBody>
      </xdr:sp>
    </xdr:grpSp>
    <xdr:clientData/>
  </xdr:twoCellAnchor>
  <xdr:twoCellAnchor>
    <xdr:from>
      <xdr:col>1</xdr:col>
      <xdr:colOff>533400</xdr:colOff>
      <xdr:row>12</xdr:row>
      <xdr:rowOff>198120</xdr:rowOff>
    </xdr:from>
    <xdr:to>
      <xdr:col>12</xdr:col>
      <xdr:colOff>342900</xdr:colOff>
      <xdr:row>13</xdr:row>
      <xdr:rowOff>150260</xdr:rowOff>
    </xdr:to>
    <xdr:grpSp>
      <xdr:nvGrpSpPr>
        <xdr:cNvPr id="35" name="Csoportba foglalás 34"/>
        <xdr:cNvGrpSpPr/>
      </xdr:nvGrpSpPr>
      <xdr:grpSpPr>
        <a:xfrm>
          <a:off x="1203960" y="3939540"/>
          <a:ext cx="4198620" cy="264560"/>
          <a:chOff x="556260" y="655320"/>
          <a:chExt cx="4198620" cy="264560"/>
        </a:xfrm>
      </xdr:grpSpPr>
      <xdr:cxnSp macro="">
        <xdr:nvCxnSpPr>
          <xdr:cNvPr id="36" name="Egyenes összekötő 35"/>
          <xdr:cNvCxnSpPr/>
        </xdr:nvCxnSpPr>
        <xdr:spPr>
          <a:xfrm>
            <a:off x="899160" y="777240"/>
            <a:ext cx="3855720" cy="0"/>
          </a:xfrm>
          <a:prstGeom prst="line">
            <a:avLst/>
          </a:prstGeom>
          <a:ln w="952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Szövegdoboz 36"/>
          <xdr:cNvSpPr txBox="1"/>
        </xdr:nvSpPr>
        <xdr:spPr>
          <a:xfrm>
            <a:off x="556260" y="655320"/>
            <a:ext cx="35900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hu-HU" sz="1100" b="1">
                <a:solidFill>
                  <a:srgbClr val="FF0000"/>
                </a:solidFill>
              </a:rPr>
              <a:t>0%</a:t>
            </a:r>
          </a:p>
        </xdr:txBody>
      </xdr:sp>
    </xdr:grpSp>
    <xdr:clientData/>
  </xdr:twoCellAnchor>
  <xdr:twoCellAnchor>
    <xdr:from>
      <xdr:col>1</xdr:col>
      <xdr:colOff>544830</xdr:colOff>
      <xdr:row>9</xdr:row>
      <xdr:rowOff>118110</xdr:rowOff>
    </xdr:from>
    <xdr:to>
      <xdr:col>12</xdr:col>
      <xdr:colOff>354330</xdr:colOff>
      <xdr:row>10</xdr:row>
      <xdr:rowOff>70250</xdr:rowOff>
    </xdr:to>
    <xdr:grpSp>
      <xdr:nvGrpSpPr>
        <xdr:cNvPr id="44" name="Csoportba foglalás 43"/>
        <xdr:cNvGrpSpPr/>
      </xdr:nvGrpSpPr>
      <xdr:grpSpPr>
        <a:xfrm>
          <a:off x="1215390" y="2922270"/>
          <a:ext cx="4198620" cy="264560"/>
          <a:chOff x="556260" y="655320"/>
          <a:chExt cx="4198620" cy="264560"/>
        </a:xfrm>
      </xdr:grpSpPr>
      <xdr:cxnSp macro="">
        <xdr:nvCxnSpPr>
          <xdr:cNvPr id="45" name="Egyenes összekötő 44"/>
          <xdr:cNvCxnSpPr/>
        </xdr:nvCxnSpPr>
        <xdr:spPr>
          <a:xfrm>
            <a:off x="899160" y="777240"/>
            <a:ext cx="3855720" cy="0"/>
          </a:xfrm>
          <a:prstGeom prst="line">
            <a:avLst/>
          </a:prstGeom>
          <a:ln w="952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6" name="Szövegdoboz 45"/>
          <xdr:cNvSpPr txBox="1"/>
        </xdr:nvSpPr>
        <xdr:spPr>
          <a:xfrm>
            <a:off x="556260" y="655320"/>
            <a:ext cx="43050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hu-HU" sz="1100" b="1">
                <a:solidFill>
                  <a:srgbClr val="FF0000"/>
                </a:solidFill>
              </a:rPr>
              <a:t>10%</a:t>
            </a:r>
          </a:p>
        </xdr:txBody>
      </xdr:sp>
    </xdr:grpSp>
    <xdr:clientData/>
  </xdr:twoCellAnchor>
  <xdr:oneCellAnchor>
    <xdr:from>
      <xdr:col>2</xdr:col>
      <xdr:colOff>152400</xdr:colOff>
      <xdr:row>0</xdr:row>
      <xdr:rowOff>205740</xdr:rowOff>
    </xdr:from>
    <xdr:ext cx="4568045" cy="436786"/>
    <xdr:sp macro="" textlink="">
      <xdr:nvSpPr>
        <xdr:cNvPr id="4" name="Szövegdoboz 3"/>
        <xdr:cNvSpPr txBox="1"/>
      </xdr:nvSpPr>
      <xdr:spPr>
        <a:xfrm>
          <a:off x="1493520" y="205740"/>
          <a:ext cx="4568045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 rtl="0" eaLnBrk="1" fontAlgn="auto" latinLnBrk="0" hangingPunct="1"/>
          <a:r>
            <a:rPr lang="hu-HU" sz="1100" b="1" i="1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Kérjük, állítsa be az oszlopok magasságát a szempontok fontossága szerint</a:t>
          </a:r>
        </a:p>
        <a:p>
          <a:pPr algn="ctr" rtl="0" eaLnBrk="1" fontAlgn="auto" latinLnBrk="0" hangingPunct="1"/>
          <a:r>
            <a:rPr lang="hu-HU" sz="1100" b="1" i="1" baseline="0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és kérjen súlyszámítást</a:t>
          </a:r>
          <a:endParaRPr lang="hu-HU" b="1">
            <a:solidFill>
              <a:srgbClr val="0000FF"/>
            </a:solidFill>
            <a:effectLst/>
          </a:endParaRPr>
        </a:p>
      </xdr:txBody>
    </xdr:sp>
    <xdr:clientData/>
  </xdr:oneCellAnchor>
  <xdr:oneCellAnchor>
    <xdr:from>
      <xdr:col>1</xdr:col>
      <xdr:colOff>60960</xdr:colOff>
      <xdr:row>0</xdr:row>
      <xdr:rowOff>30480</xdr:rowOff>
    </xdr:from>
    <xdr:ext cx="592406" cy="254493"/>
    <xdr:sp macro="" textlink="">
      <xdr:nvSpPr>
        <xdr:cNvPr id="8" name="Szövegdoboz 7"/>
        <xdr:cNvSpPr txBox="1"/>
      </xdr:nvSpPr>
      <xdr:spPr>
        <a:xfrm>
          <a:off x="731520" y="30480"/>
          <a:ext cx="592406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hu-HU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Súly%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0</xdr:row>
      <xdr:rowOff>289560</xdr:rowOff>
    </xdr:from>
    <xdr:to>
      <xdr:col>13</xdr:col>
      <xdr:colOff>30480</xdr:colOff>
      <xdr:row>7</xdr:row>
      <xdr:rowOff>45720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388620</xdr:colOff>
      <xdr:row>1</xdr:row>
      <xdr:rowOff>60960</xdr:rowOff>
    </xdr:from>
    <xdr:to>
      <xdr:col>11</xdr:col>
      <xdr:colOff>332280</xdr:colOff>
      <xdr:row>1</xdr:row>
      <xdr:rowOff>312960</xdr:rowOff>
    </xdr:to>
    <xdr:sp macro="[0]!PLUSZ" textlink="">
      <xdr:nvSpPr>
        <xdr:cNvPr id="3" name="Háromszög 1"/>
        <xdr:cNvSpPr>
          <a:spLocks noChangeAspect="1"/>
        </xdr:cNvSpPr>
      </xdr:nvSpPr>
      <xdr:spPr>
        <a:xfrm>
          <a:off x="5570220" y="502920"/>
          <a:ext cx="378000" cy="252000"/>
        </a:xfrm>
        <a:prstGeom prst="triangle">
          <a:avLst/>
        </a:prstGeom>
        <a:solidFill>
          <a:srgbClr val="00B05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10</xdr:col>
      <xdr:colOff>388618</xdr:colOff>
      <xdr:row>2</xdr:row>
      <xdr:rowOff>255815</xdr:rowOff>
    </xdr:from>
    <xdr:to>
      <xdr:col>11</xdr:col>
      <xdr:colOff>331190</xdr:colOff>
      <xdr:row>3</xdr:row>
      <xdr:rowOff>65855</xdr:rowOff>
    </xdr:to>
    <xdr:sp macro="[0]!MINUSZ" textlink="">
      <xdr:nvSpPr>
        <xdr:cNvPr id="16" name="Háromszög 11"/>
        <xdr:cNvSpPr>
          <a:spLocks noChangeAspect="1"/>
        </xdr:cNvSpPr>
      </xdr:nvSpPr>
      <xdr:spPr>
        <a:xfrm flipV="1">
          <a:off x="5581104" y="1139735"/>
          <a:ext cx="378000" cy="252000"/>
        </a:xfrm>
        <a:prstGeom prst="triangle">
          <a:avLst/>
        </a:prstGeom>
        <a:solidFill>
          <a:srgbClr val="FF000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oneCellAnchor>
    <xdr:from>
      <xdr:col>9</xdr:col>
      <xdr:colOff>160020</xdr:colOff>
      <xdr:row>1</xdr:row>
      <xdr:rowOff>289560</xdr:rowOff>
    </xdr:from>
    <xdr:ext cx="1767840" cy="541020"/>
    <xdr:sp macro="" textlink="">
      <xdr:nvSpPr>
        <xdr:cNvPr id="9" name="Szövegdoboz 8"/>
        <xdr:cNvSpPr txBox="1"/>
      </xdr:nvSpPr>
      <xdr:spPr>
        <a:xfrm>
          <a:off x="4907280" y="731520"/>
          <a:ext cx="1767840" cy="5410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hu-HU" sz="1100"/>
            <a:t>Jelöljön</a:t>
          </a:r>
          <a:r>
            <a:rPr lang="hu-HU" sz="1100" baseline="0"/>
            <a:t> ki egy megnevezést és állítsa be az értékét</a:t>
          </a:r>
          <a:endParaRPr lang="hu-HU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F1:H16"/>
  <sheetViews>
    <sheetView showGridLines="0" showRowColHeaders="0" zoomScale="170" zoomScaleNormal="170" workbookViewId="0">
      <selection activeCell="F12" sqref="F12"/>
    </sheetView>
  </sheetViews>
  <sheetFormatPr defaultRowHeight="15.6" x14ac:dyDescent="0.3"/>
  <cols>
    <col min="1" max="5" width="4.3984375" customWidth="1"/>
    <col min="6" max="6" width="25.5" customWidth="1"/>
    <col min="7" max="7" width="2" customWidth="1"/>
  </cols>
  <sheetData>
    <row r="1" spans="6:8" ht="17.399999999999999" customHeight="1" x14ac:dyDescent="0.35">
      <c r="F1" s="2" t="s">
        <v>10</v>
      </c>
    </row>
    <row r="2" spans="6:8" ht="12.6" customHeight="1" x14ac:dyDescent="0.3"/>
    <row r="3" spans="6:8" x14ac:dyDescent="0.3">
      <c r="F3" s="3" t="s">
        <v>0</v>
      </c>
      <c r="G3" s="26"/>
    </row>
    <row r="4" spans="6:8" x14ac:dyDescent="0.3">
      <c r="F4" s="3" t="s">
        <v>1</v>
      </c>
      <c r="G4" s="26"/>
    </row>
    <row r="5" spans="6:8" x14ac:dyDescent="0.3">
      <c r="F5" s="3" t="s">
        <v>2</v>
      </c>
      <c r="G5" s="26"/>
    </row>
    <row r="6" spans="6:8" x14ac:dyDescent="0.3">
      <c r="F6" s="3" t="s">
        <v>3</v>
      </c>
      <c r="G6" s="26"/>
    </row>
    <row r="7" spans="6:8" x14ac:dyDescent="0.3">
      <c r="F7" s="3" t="s">
        <v>4</v>
      </c>
      <c r="G7" s="26"/>
    </row>
    <row r="8" spans="6:8" x14ac:dyDescent="0.3">
      <c r="F8" s="3" t="s">
        <v>5</v>
      </c>
      <c r="G8" s="26"/>
    </row>
    <row r="9" spans="6:8" x14ac:dyDescent="0.3">
      <c r="F9" s="3" t="s">
        <v>13</v>
      </c>
      <c r="G9" s="26"/>
    </row>
    <row r="10" spans="6:8" x14ac:dyDescent="0.3">
      <c r="F10" s="3" t="s">
        <v>6</v>
      </c>
      <c r="G10" s="26"/>
    </row>
    <row r="11" spans="6:8" x14ac:dyDescent="0.3">
      <c r="F11" s="3" t="s">
        <v>7</v>
      </c>
      <c r="G11" s="26"/>
    </row>
    <row r="12" spans="6:8" x14ac:dyDescent="0.3">
      <c r="F12" s="3" t="s">
        <v>8</v>
      </c>
      <c r="G12" s="26"/>
    </row>
    <row r="13" spans="6:8" ht="16.2" x14ac:dyDescent="0.35">
      <c r="F13" s="15" t="s">
        <v>9</v>
      </c>
      <c r="G13" s="1"/>
      <c r="H13" s="1"/>
    </row>
    <row r="14" spans="6:8" x14ac:dyDescent="0.3">
      <c r="F14" s="1"/>
    </row>
    <row r="15" spans="6:8" x14ac:dyDescent="0.3">
      <c r="F15" s="1"/>
    </row>
    <row r="16" spans="6:8" x14ac:dyDescent="0.3">
      <c r="F16" s="1"/>
    </row>
  </sheetData>
  <mergeCells count="1">
    <mergeCell ref="G3:G12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B1:O16"/>
  <sheetViews>
    <sheetView showRowColHeaders="0" topLeftCell="B1" zoomScaleNormal="100" workbookViewId="0">
      <selection activeCell="S9" sqref="S9"/>
    </sheetView>
  </sheetViews>
  <sheetFormatPr defaultRowHeight="15.6" x14ac:dyDescent="0.3"/>
  <cols>
    <col min="3" max="3" width="4.69921875" customWidth="1"/>
    <col min="4" max="13" width="4.8984375" customWidth="1"/>
    <col min="14" max="14" width="5.5" customWidth="1"/>
    <col min="15" max="18" width="4.8984375" customWidth="1"/>
  </cols>
  <sheetData>
    <row r="1" spans="2:15" ht="24" customHeight="1" x14ac:dyDescent="0.3">
      <c r="B1" s="4"/>
    </row>
    <row r="2" spans="2:15" ht="25.05" customHeight="1" x14ac:dyDescent="0.3">
      <c r="D2" s="5"/>
      <c r="E2" s="5"/>
      <c r="F2" s="5"/>
      <c r="G2" s="5"/>
      <c r="H2" s="5"/>
      <c r="I2" s="5"/>
      <c r="J2" s="5"/>
      <c r="K2" s="5"/>
      <c r="L2" s="5"/>
      <c r="M2" s="5"/>
    </row>
    <row r="3" spans="2:15" ht="25.05" customHeight="1" x14ac:dyDescent="0.3">
      <c r="D3" s="5"/>
      <c r="E3" s="5"/>
      <c r="F3" s="5"/>
      <c r="G3" s="5"/>
      <c r="H3" s="5"/>
      <c r="I3" s="5"/>
      <c r="J3" s="5"/>
      <c r="K3" s="27"/>
      <c r="L3" s="27"/>
      <c r="M3" s="27"/>
    </row>
    <row r="4" spans="2:15" ht="25.05" customHeight="1" x14ac:dyDescent="0.3">
      <c r="D4" s="5"/>
      <c r="E4" s="5"/>
      <c r="F4" s="5"/>
      <c r="G4" s="5"/>
      <c r="H4" s="5"/>
      <c r="I4" s="5"/>
      <c r="J4" s="5"/>
      <c r="K4" s="5"/>
      <c r="L4" s="5"/>
      <c r="M4" s="5"/>
    </row>
    <row r="5" spans="2:15" ht="25.05" customHeight="1" x14ac:dyDescent="0.3">
      <c r="D5" s="5"/>
      <c r="E5" s="5"/>
      <c r="F5" s="5"/>
      <c r="G5" s="5"/>
      <c r="H5" s="5"/>
      <c r="I5" s="5"/>
      <c r="J5" s="5"/>
      <c r="K5" s="5"/>
      <c r="L5" s="5"/>
      <c r="M5" s="5"/>
    </row>
    <row r="6" spans="2:15" ht="25.05" customHeight="1" x14ac:dyDescent="0.3"/>
    <row r="7" spans="2:15" ht="25.05" customHeight="1" x14ac:dyDescent="0.3">
      <c r="N7" s="14"/>
    </row>
    <row r="8" spans="2:15" ht="25.05" customHeight="1" x14ac:dyDescent="0.3">
      <c r="N8" s="14"/>
    </row>
    <row r="9" spans="2:15" ht="25.05" customHeight="1" x14ac:dyDescent="0.3">
      <c r="N9" s="14"/>
    </row>
    <row r="10" spans="2:15" ht="25.05" customHeight="1" x14ac:dyDescent="0.3">
      <c r="N10" s="14"/>
    </row>
    <row r="11" spans="2:15" ht="25.05" customHeight="1" x14ac:dyDescent="0.3">
      <c r="N11" s="14"/>
    </row>
    <row r="12" spans="2:15" ht="25.05" customHeight="1" x14ac:dyDescent="0.3">
      <c r="N12" s="14"/>
    </row>
    <row r="13" spans="2:15" ht="25.05" customHeight="1" x14ac:dyDescent="0.3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4"/>
    </row>
    <row r="14" spans="2:15" ht="108" customHeight="1" x14ac:dyDescent="0.3">
      <c r="B14" s="10"/>
      <c r="C14" s="10"/>
      <c r="D14" s="12">
        <f t="shared" ref="D14:L14" si="0">D16/$N$16</f>
        <v>0.30951555283631482</v>
      </c>
      <c r="E14" s="12">
        <f t="shared" si="0"/>
        <v>0.21585597436388909</v>
      </c>
      <c r="F14" s="12">
        <f t="shared" si="0"/>
        <v>0.15109921749584318</v>
      </c>
      <c r="G14" s="12">
        <f t="shared" si="0"/>
        <v>0.10576933379913381</v>
      </c>
      <c r="H14" s="12">
        <f t="shared" si="0"/>
        <v>7.4038571898497704E-2</v>
      </c>
      <c r="I14" s="12">
        <f t="shared" si="0"/>
        <v>5.1827099191022262E-2</v>
      </c>
      <c r="J14" s="12">
        <f t="shared" si="0"/>
        <v>3.6278881297244069E-2</v>
      </c>
      <c r="K14" s="12">
        <f t="shared" si="0"/>
        <v>2.5395160248910593E-2</v>
      </c>
      <c r="L14" s="12">
        <f t="shared" si="0"/>
        <v>1.7776553882920279E-2</v>
      </c>
      <c r="M14" s="12">
        <f>M16/$N$16</f>
        <v>1.244365498622417E-2</v>
      </c>
      <c r="N14" s="13">
        <f>SUM(D14:M14)</f>
        <v>1.0000000000000002</v>
      </c>
      <c r="O14" s="11"/>
    </row>
    <row r="15" spans="2:15" x14ac:dyDescent="0.3">
      <c r="B15" s="8" t="s">
        <v>11</v>
      </c>
      <c r="C15" s="8"/>
      <c r="D15" s="9">
        <v>30.9</v>
      </c>
      <c r="E15" s="9">
        <f>0.7*D15</f>
        <v>21.63</v>
      </c>
      <c r="F15" s="9">
        <f t="shared" ref="F15:M15" si="1">0.7*E15</f>
        <v>15.140999999999998</v>
      </c>
      <c r="G15" s="9">
        <f t="shared" si="1"/>
        <v>10.598699999999997</v>
      </c>
      <c r="H15" s="9">
        <f t="shared" si="1"/>
        <v>7.419089999999998</v>
      </c>
      <c r="I15" s="9">
        <f t="shared" si="1"/>
        <v>5.193362999999998</v>
      </c>
      <c r="J15" s="9">
        <f t="shared" si="1"/>
        <v>3.6353540999999985</v>
      </c>
      <c r="K15" s="9">
        <f t="shared" si="1"/>
        <v>2.5447478699999988</v>
      </c>
      <c r="L15" s="9">
        <f t="shared" si="1"/>
        <v>1.781323508999999</v>
      </c>
      <c r="M15" s="9">
        <f t="shared" si="1"/>
        <v>1.2469264562999993</v>
      </c>
      <c r="N15" s="7">
        <f>SUM(D15:M15)</f>
        <v>100.09050493529999</v>
      </c>
      <c r="O15" s="6"/>
    </row>
    <row r="16" spans="2:15" s="6" customFormat="1" ht="10.199999999999999" x14ac:dyDescent="0.2">
      <c r="B16" s="8" t="s">
        <v>12</v>
      </c>
      <c r="C16" s="8"/>
      <c r="D16" s="9">
        <v>31.648906707763672</v>
      </c>
      <c r="E16" s="9">
        <v>22.071929931640625</v>
      </c>
      <c r="F16" s="9">
        <v>15.45035457611084</v>
      </c>
      <c r="G16" s="9">
        <v>10.81523609161377</v>
      </c>
      <c r="H16" s="9">
        <v>7.5706691741943359</v>
      </c>
      <c r="I16" s="9">
        <v>5.2994785308837891</v>
      </c>
      <c r="J16" s="9">
        <v>3.7096259593963623</v>
      </c>
      <c r="K16" s="9">
        <v>2.5967323780059814</v>
      </c>
      <c r="L16" s="9">
        <v>1.8177067041397095</v>
      </c>
      <c r="M16" s="9">
        <v>1.2724015712738037</v>
      </c>
      <c r="N16" s="7">
        <f>SUM(D16:M16)</f>
        <v>102.25304162502289</v>
      </c>
    </row>
  </sheetData>
  <mergeCells count="1">
    <mergeCell ref="K3:M3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O22"/>
  <sheetViews>
    <sheetView showGridLines="0" tabSelected="1" zoomScaleNormal="100" workbookViewId="0">
      <selection activeCell="D8" sqref="D8"/>
    </sheetView>
  </sheetViews>
  <sheetFormatPr defaultRowHeight="15.6" x14ac:dyDescent="0.3"/>
  <cols>
    <col min="1" max="1" width="16.69921875" customWidth="1"/>
    <col min="2" max="15" width="5.69921875" customWidth="1"/>
  </cols>
  <sheetData>
    <row r="1" spans="3:15" ht="34.799999999999997" customHeight="1" x14ac:dyDescent="0.3">
      <c r="H1" s="28"/>
      <c r="I1" s="29"/>
      <c r="J1" s="29"/>
      <c r="K1" s="29"/>
    </row>
    <row r="2" spans="3:15" ht="34.799999999999997" customHeight="1" x14ac:dyDescent="0.3"/>
    <row r="3" spans="3:15" ht="34.799999999999997" customHeight="1" x14ac:dyDescent="0.3"/>
    <row r="4" spans="3:15" ht="34.799999999999997" customHeight="1" x14ac:dyDescent="0.3"/>
    <row r="5" spans="3:15" ht="34.799999999999997" customHeight="1" x14ac:dyDescent="0.3"/>
    <row r="6" spans="3:15" ht="34.799999999999997" customHeight="1" x14ac:dyDescent="0.3"/>
    <row r="7" spans="3:15" ht="34.799999999999997" customHeight="1" x14ac:dyDescent="0.3"/>
    <row r="8" spans="3:15" ht="72.599999999999994" customHeight="1" x14ac:dyDescent="0.3">
      <c r="D8" s="18" t="s">
        <v>14</v>
      </c>
      <c r="E8" s="18" t="s">
        <v>15</v>
      </c>
      <c r="F8" s="18" t="s">
        <v>16</v>
      </c>
      <c r="G8" s="18" t="s">
        <v>17</v>
      </c>
      <c r="H8" s="18" t="s">
        <v>18</v>
      </c>
      <c r="I8" s="18" t="s">
        <v>19</v>
      </c>
      <c r="J8" s="18" t="s">
        <v>20</v>
      </c>
      <c r="K8" s="18" t="s">
        <v>21</v>
      </c>
      <c r="L8" s="18" t="s">
        <v>22</v>
      </c>
      <c r="M8" s="18" t="s">
        <v>23</v>
      </c>
    </row>
    <row r="9" spans="3:15" ht="21.6" customHeight="1" x14ac:dyDescent="0.3">
      <c r="C9" s="19" t="s">
        <v>25</v>
      </c>
      <c r="D9" s="25">
        <v>30.87031266</v>
      </c>
      <c r="E9" s="25">
        <v>21.609218862000002</v>
      </c>
      <c r="F9" s="25">
        <v>15.126453203399999</v>
      </c>
      <c r="G9" s="25">
        <v>10.588517242379996</v>
      </c>
      <c r="H9" s="25">
        <v>7.4119620696659982</v>
      </c>
      <c r="I9" s="25">
        <v>5.1883734487661988</v>
      </c>
      <c r="J9" s="25">
        <v>3.6318614141363388</v>
      </c>
      <c r="K9" s="25">
        <v>2.542302989895437</v>
      </c>
      <c r="L9" s="25">
        <v>1.779612092926806</v>
      </c>
      <c r="M9" s="25">
        <v>1.2358284650487641</v>
      </c>
      <c r="N9" s="20">
        <f>SUM(D9:M9)</f>
        <v>99.984442448219554</v>
      </c>
    </row>
    <row r="10" spans="3:15" ht="13.2" customHeight="1" x14ac:dyDescent="0.3"/>
    <row r="11" spans="3:15" ht="13.2" customHeight="1" x14ac:dyDescent="0.3"/>
    <row r="12" spans="3:15" ht="13.2" customHeight="1" x14ac:dyDescent="0.3"/>
    <row r="13" spans="3:15" ht="13.2" customHeight="1" x14ac:dyDescent="0.3"/>
    <row r="14" spans="3:15" ht="13.2" customHeight="1" x14ac:dyDescent="0.3"/>
    <row r="15" spans="3:15" ht="13.2" customHeight="1" x14ac:dyDescent="0.3">
      <c r="D15" s="16">
        <v>30.8734</v>
      </c>
      <c r="E15" s="16">
        <f>0.7*D15</f>
        <v>21.61138</v>
      </c>
      <c r="F15" s="16">
        <f t="shared" ref="F15:M15" si="0">0.7*E15</f>
        <v>15.127965999999999</v>
      </c>
      <c r="G15" s="16">
        <f t="shared" si="0"/>
        <v>10.589576199999998</v>
      </c>
      <c r="H15" s="16">
        <f t="shared" si="0"/>
        <v>7.4127033399999984</v>
      </c>
      <c r="I15" s="16">
        <f t="shared" si="0"/>
        <v>5.1888923379999987</v>
      </c>
      <c r="J15" s="16">
        <f t="shared" si="0"/>
        <v>3.6322246365999988</v>
      </c>
      <c r="K15" s="16">
        <f t="shared" si="0"/>
        <v>2.542557245619999</v>
      </c>
      <c r="L15" s="16">
        <f t="shared" si="0"/>
        <v>1.7797900719339992</v>
      </c>
      <c r="M15" s="16">
        <f t="shared" si="0"/>
        <v>1.2458530503537995</v>
      </c>
      <c r="N15" s="24">
        <f>SUM(D15:M15)</f>
        <v>100.0043428825078</v>
      </c>
      <c r="O15" s="17" t="s">
        <v>24</v>
      </c>
    </row>
    <row r="16" spans="3:15" ht="13.2" customHeight="1" x14ac:dyDescent="0.3"/>
    <row r="18" spans="1:11" ht="13.2" customHeight="1" x14ac:dyDescent="0.3"/>
    <row r="19" spans="1:11" ht="13.2" customHeight="1" x14ac:dyDescent="0.3"/>
    <row r="20" spans="1:11" ht="13.2" customHeight="1" x14ac:dyDescent="0.3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2"/>
    </row>
    <row r="21" spans="1:11" ht="13.2" customHeight="1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1"/>
    </row>
    <row r="22" spans="1:11" ht="13.2" customHeight="1" x14ac:dyDescent="0.3"/>
  </sheetData>
  <mergeCells count="1">
    <mergeCell ref="H1:K1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Rendezés</vt:lpstr>
      <vt:lpstr>Súlyozás 1</vt:lpstr>
      <vt:lpstr>Súlyozás 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singo</dc:creator>
  <cp:lastModifiedBy>dr</cp:lastModifiedBy>
  <dcterms:created xsi:type="dcterms:W3CDTF">2016-11-12T09:40:10Z</dcterms:created>
  <dcterms:modified xsi:type="dcterms:W3CDTF">2016-11-30T19:13:11Z</dcterms:modified>
</cp:coreProperties>
</file>